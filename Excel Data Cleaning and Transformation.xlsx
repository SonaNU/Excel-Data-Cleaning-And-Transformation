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ay Krishnan\Downloads\"/>
    </mc:Choice>
  </mc:AlternateContent>
  <xr:revisionPtr revIDLastSave="0" documentId="13_ncr:1_{D55D3A1C-C83C-40AB-9DAD-537A4A95DB0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2" i="2"/>
  <c r="J2" i="2" s="1"/>
</calcChain>
</file>

<file path=xl/sharedStrings.xml><?xml version="1.0" encoding="utf-8"?>
<sst xmlns="http://schemas.openxmlformats.org/spreadsheetml/2006/main" count="158" uniqueCount="121">
  <si>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</si>
  <si>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</si>
  <si>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</si>
  <si>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</si>
  <si>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</si>
  <si>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</si>
  <si>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</si>
  <si>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</si>
  <si>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</si>
  <si>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</si>
  <si>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</si>
  <si>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</si>
  <si>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</si>
  <si>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</si>
  <si>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</si>
  <si>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</si>
  <si>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</si>
  <si>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</si>
  <si>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</si>
  <si>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</si>
  <si>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</si>
  <si>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</si>
  <si>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</si>
  <si>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</si>
  <si>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</si>
  <si>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</si>
  <si>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</si>
  <si>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</si>
  <si>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</si>
  <si>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</si>
  <si>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</si>
  <si>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</si>
  <si>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</si>
  <si>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</si>
  <si>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</si>
  <si>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</si>
  <si>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</si>
  <si>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</si>
  <si>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</si>
  <si>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</si>
  <si>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</si>
  <si>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</si>
  <si>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</si>
  <si>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</si>
  <si>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</si>
  <si>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</si>
  <si>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</si>
  <si>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</si>
  <si>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</si>
  <si>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</si>
  <si>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</si>
  <si>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</si>
  <si>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</si>
  <si>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</si>
  <si>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</si>
  <si>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</si>
  <si>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</si>
  <si>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</si>
  <si>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</si>
  <si>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</si>
  <si>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</si>
  <si>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</si>
  <si>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</si>
  <si>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</si>
  <si>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</si>
  <si>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</si>
  <si>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</si>
  <si>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</si>
  <si>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</si>
  <si>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</si>
  <si>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</si>
  <si>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</si>
  <si>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</si>
  <si>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</si>
  <si>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</si>
  <si>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</si>
  <si>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</si>
  <si>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</si>
  <si>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</si>
  <si>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</si>
  <si>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</si>
  <si>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</si>
  <si>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</si>
  <si>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</si>
  <si>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</si>
  <si>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</si>
  <si>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</si>
  <si>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</si>
  <si>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</si>
  <si>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</si>
  <si>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</si>
  <si>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</si>
  <si>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</si>
  <si>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</si>
  <si>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</si>
  <si>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</si>
  <si>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</si>
  <si>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</si>
  <si>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</si>
  <si>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</si>
  <si>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</si>
  <si>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</si>
  <si>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</si>
  <si>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</si>
  <si>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</si>
  <si>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</si>
  <si>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</si>
  <si>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</si>
  <si>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</si>
  <si>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</si>
  <si>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</si>
  <si>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</si>
  <si>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</si>
  <si>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</si>
  <si>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</si>
  <si>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</si>
  <si>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</t>
  </si>
  <si>
    <t>Standardised Product Name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</si>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</sst>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$-409]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center"/>
    </xf>
    <xf numFmtId="14" fontId="7" fillId="2" borderId="11" xfId="0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166" fontId="0" fillId="0" borderId="8" xfId="0" applyNumberFormat="1" applyBorder="1"/>
    <xf numFmtId="166" fontId="0" fillId="0" borderId="1" xfId="0" applyNumberFormat="1" applyBorder="1"/>
    <xf numFmtId="166" fontId="0" fillId="0" borderId="5" xfId="0" applyNumberFormat="1" applyBorder="1"/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K18" sqref="K1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70" zoomScaleNormal="70" workbookViewId="0">
      <selection activeCell="O16" sqref="O16"/>
    </sheetView>
  </sheetViews>
  <sheetFormatPr defaultColWidth="12.6640625" defaultRowHeight="15" customHeight="1" x14ac:dyDescent="0.25"/>
  <cols>
    <col min="1" max="1" width="12.6640625" customWidth="1"/>
    <col min="2" max="2" width="14.6640625" bestFit="1" customWidth="1"/>
    <col min="3" max="6" width="12.6640625" customWidth="1"/>
    <col min="7" max="7" width="26.88671875" bestFit="1" customWidth="1"/>
    <col min="8" max="8" width="18.88671875" bestFit="1" customWidth="1"/>
    <col min="10" max="10" width="23.109375" bestFit="1" customWidth="1"/>
  </cols>
  <sheetData>
    <row r="1" spans="1:16" ht="15.75" customHeight="1" x14ac:dyDescent="0.25">
      <c r="A1" s="18" t="s">
        <v>19</v>
      </c>
      <c r="B1" s="19" t="s">
        <v>20</v>
      </c>
      <c r="C1" s="19" t="s">
        <v>21</v>
      </c>
      <c r="D1" s="20" t="s">
        <v>22</v>
      </c>
      <c r="E1" s="19" t="s">
        <v>23</v>
      </c>
      <c r="F1" s="19" t="s">
        <v>24</v>
      </c>
      <c r="G1" s="19" t="s">
        <v>117</v>
      </c>
      <c r="H1" s="21" t="s">
        <v>118</v>
      </c>
      <c r="I1" s="19" t="s">
        <v>119</v>
      </c>
      <c r="J1" s="22" t="s">
        <v>120</v>
      </c>
    </row>
    <row r="2" spans="1:16" ht="15.75" customHeight="1" x14ac:dyDescent="0.25">
      <c r="A2" s="15" t="s">
        <v>25</v>
      </c>
      <c r="B2" s="16" t="s">
        <v>26</v>
      </c>
      <c r="C2" s="16" t="s">
        <v>27</v>
      </c>
      <c r="D2" s="23">
        <v>1000</v>
      </c>
      <c r="E2" s="16">
        <v>30</v>
      </c>
      <c r="F2" s="16" t="s">
        <v>28</v>
      </c>
      <c r="G2" s="16" t="str">
        <f t="shared" ref="G2:G32" si="0">PROPER(B2)</f>
        <v>Laptop</v>
      </c>
      <c r="H2" s="8">
        <f>DATEVALUE(LEFT(A2,6)&amp;"-2026")</f>
        <v>46050</v>
      </c>
      <c r="I2" s="16" t="str">
        <f>RIGHT(A2,2)</f>
        <v>US</v>
      </c>
      <c r="J2" s="17" t="str">
        <f>_xlfn.CONCAT(C2," ",G2)</f>
        <v>Dell Laptop</v>
      </c>
    </row>
    <row r="3" spans="1:16" ht="15.75" customHeight="1" x14ac:dyDescent="0.25">
      <c r="A3" s="9" t="s">
        <v>29</v>
      </c>
      <c r="B3" s="7" t="s">
        <v>30</v>
      </c>
      <c r="C3" s="7" t="s">
        <v>31</v>
      </c>
      <c r="D3" s="24">
        <v>80</v>
      </c>
      <c r="E3" s="7">
        <v>15</v>
      </c>
      <c r="F3" s="7" t="s">
        <v>32</v>
      </c>
      <c r="G3" s="7" t="str">
        <f t="shared" si="0"/>
        <v>Sneakers</v>
      </c>
      <c r="H3" s="8">
        <f t="shared" ref="H3:H32" si="1">DATEVALUE(LEFT(A3,6)&amp;"-2026")</f>
        <v>46068</v>
      </c>
      <c r="I3" s="7" t="str">
        <f t="shared" ref="I3:I32" si="2">RIGHT(A3,2)</f>
        <v>US</v>
      </c>
      <c r="J3" s="10" t="str">
        <f t="shared" ref="J3:J32" si="3">_xlfn.CONCAT(C3," ",G3)</f>
        <v>Nike Sneakers</v>
      </c>
      <c r="K3" s="5"/>
      <c r="L3" s="5"/>
      <c r="M3" s="5"/>
      <c r="N3" s="5"/>
      <c r="O3" s="5"/>
      <c r="P3" s="5"/>
    </row>
    <row r="4" spans="1:16" ht="15.75" customHeight="1" x14ac:dyDescent="0.25">
      <c r="A4" s="9" t="s">
        <v>33</v>
      </c>
      <c r="B4" s="7" t="s">
        <v>34</v>
      </c>
      <c r="C4" s="7" t="s">
        <v>35</v>
      </c>
      <c r="D4" s="24">
        <v>130</v>
      </c>
      <c r="E4" s="7">
        <v>40</v>
      </c>
      <c r="F4" s="7" t="s">
        <v>36</v>
      </c>
      <c r="G4" s="7" t="str">
        <f t="shared" si="0"/>
        <v>Coffee Maker</v>
      </c>
      <c r="H4" s="8">
        <f t="shared" si="1"/>
        <v>46084</v>
      </c>
      <c r="I4" s="7" t="str">
        <f t="shared" si="2"/>
        <v>US</v>
      </c>
      <c r="J4" s="10" t="str">
        <f t="shared" si="3"/>
        <v>Keurig Coffee Maker</v>
      </c>
      <c r="K4" s="5"/>
      <c r="L4" s="5"/>
      <c r="M4" s="5"/>
      <c r="N4" s="5"/>
      <c r="O4" s="5"/>
      <c r="P4" s="5"/>
    </row>
    <row r="5" spans="1:16" ht="15.75" customHeight="1" x14ac:dyDescent="0.25">
      <c r="A5" s="9" t="s">
        <v>37</v>
      </c>
      <c r="B5" s="7" t="s">
        <v>38</v>
      </c>
      <c r="C5" s="7" t="s">
        <v>39</v>
      </c>
      <c r="D5" s="24">
        <v>900</v>
      </c>
      <c r="E5" s="7">
        <v>25</v>
      </c>
      <c r="F5" s="7" t="s">
        <v>28</v>
      </c>
      <c r="G5" s="7" t="str">
        <f t="shared" si="0"/>
        <v>Smartphone</v>
      </c>
      <c r="H5" s="8">
        <f t="shared" si="1"/>
        <v>46123</v>
      </c>
      <c r="I5" s="7" t="str">
        <f t="shared" si="2"/>
        <v>US</v>
      </c>
      <c r="J5" s="10" t="str">
        <f t="shared" si="3"/>
        <v>Samsung Smartphone</v>
      </c>
      <c r="K5" s="5"/>
      <c r="L5" s="5"/>
      <c r="M5" s="5"/>
      <c r="N5" s="5"/>
      <c r="O5" s="5"/>
      <c r="P5" s="5"/>
    </row>
    <row r="6" spans="1:16" ht="15.75" customHeight="1" x14ac:dyDescent="0.25">
      <c r="A6" s="9" t="s">
        <v>40</v>
      </c>
      <c r="B6" s="7" t="s">
        <v>41</v>
      </c>
      <c r="C6" s="7" t="s">
        <v>42</v>
      </c>
      <c r="D6" s="24">
        <v>70</v>
      </c>
      <c r="E6" s="7">
        <v>20</v>
      </c>
      <c r="F6" s="7" t="s">
        <v>116</v>
      </c>
      <c r="G6" s="7" t="str">
        <f t="shared" si="0"/>
        <v>Backpack</v>
      </c>
      <c r="H6" s="8">
        <f t="shared" si="1"/>
        <v>46164</v>
      </c>
      <c r="I6" s="7" t="str">
        <f t="shared" si="2"/>
        <v>US</v>
      </c>
      <c r="J6" s="10" t="str">
        <f t="shared" si="3"/>
        <v>North Face Backpack</v>
      </c>
    </row>
    <row r="7" spans="1:16" ht="15.75" customHeight="1" x14ac:dyDescent="0.25">
      <c r="A7" s="9" t="s">
        <v>43</v>
      </c>
      <c r="B7" s="7" t="s">
        <v>44</v>
      </c>
      <c r="C7" s="7" t="s">
        <v>45</v>
      </c>
      <c r="D7" s="24" t="s">
        <v>116</v>
      </c>
      <c r="E7" s="7">
        <v>45</v>
      </c>
      <c r="F7" s="7" t="s">
        <v>46</v>
      </c>
      <c r="G7" s="7" t="str">
        <f t="shared" si="0"/>
        <v>Headphones</v>
      </c>
      <c r="H7" s="8">
        <f t="shared" si="1"/>
        <v>46180</v>
      </c>
      <c r="I7" s="7" t="str">
        <f t="shared" si="2"/>
        <v>UK</v>
      </c>
      <c r="J7" s="10" t="str">
        <f t="shared" si="3"/>
        <v>Sony Headphones</v>
      </c>
    </row>
    <row r="8" spans="1:16" ht="15.75" customHeight="1" x14ac:dyDescent="0.25">
      <c r="A8" s="9" t="s">
        <v>47</v>
      </c>
      <c r="B8" s="7" t="s">
        <v>48</v>
      </c>
      <c r="C8" s="7" t="s">
        <v>49</v>
      </c>
      <c r="D8" s="24" t="s">
        <v>116</v>
      </c>
      <c r="E8" s="7">
        <v>5</v>
      </c>
      <c r="F8" s="7" t="s">
        <v>32</v>
      </c>
      <c r="G8" s="7" t="str">
        <f t="shared" si="0"/>
        <v>T-Shirt</v>
      </c>
      <c r="H8" s="8">
        <f t="shared" si="1"/>
        <v>46222</v>
      </c>
      <c r="I8" s="7" t="str">
        <f t="shared" si="2"/>
        <v>UK</v>
      </c>
      <c r="J8" s="10" t="str">
        <f t="shared" si="3"/>
        <v>Adidas T-Shirt</v>
      </c>
    </row>
    <row r="9" spans="1:16" ht="15.75" customHeight="1" x14ac:dyDescent="0.25">
      <c r="A9" s="9" t="s">
        <v>50</v>
      </c>
      <c r="B9" s="7" t="s">
        <v>51</v>
      </c>
      <c r="C9" s="7" t="s">
        <v>52</v>
      </c>
      <c r="D9" s="24">
        <v>90</v>
      </c>
      <c r="E9" s="7">
        <v>35</v>
      </c>
      <c r="F9" s="7" t="s">
        <v>36</v>
      </c>
      <c r="G9" s="7" t="str">
        <f t="shared" si="0"/>
        <v>Blender</v>
      </c>
      <c r="H9" s="8">
        <f t="shared" si="1"/>
        <v>46257</v>
      </c>
      <c r="I9" s="7" t="str">
        <f t="shared" si="2"/>
        <v>UK</v>
      </c>
      <c r="J9" s="10" t="str">
        <f t="shared" si="3"/>
        <v>Ninja Blender</v>
      </c>
    </row>
    <row r="10" spans="1:16" ht="15.75" customHeight="1" x14ac:dyDescent="0.25">
      <c r="A10" s="9" t="s">
        <v>53</v>
      </c>
      <c r="B10" s="7" t="s">
        <v>54</v>
      </c>
      <c r="C10" s="7" t="s">
        <v>55</v>
      </c>
      <c r="D10" s="24">
        <v>500</v>
      </c>
      <c r="E10" s="7">
        <v>50</v>
      </c>
      <c r="F10" s="7" t="s">
        <v>28</v>
      </c>
      <c r="G10" s="7" t="str">
        <f t="shared" si="0"/>
        <v>Tablet</v>
      </c>
      <c r="H10" s="8">
        <f t="shared" si="1"/>
        <v>46270</v>
      </c>
      <c r="I10" s="7" t="str">
        <f t="shared" si="2"/>
        <v>UK</v>
      </c>
      <c r="J10" s="10" t="str">
        <f t="shared" si="3"/>
        <v>Apple Tablet</v>
      </c>
    </row>
    <row r="11" spans="1:16" ht="15.75" customHeight="1" x14ac:dyDescent="0.25">
      <c r="A11" s="9" t="s">
        <v>56</v>
      </c>
      <c r="B11" s="7" t="s">
        <v>57</v>
      </c>
      <c r="C11" s="7" t="s">
        <v>58</v>
      </c>
      <c r="D11" s="24">
        <v>130</v>
      </c>
      <c r="E11" s="7">
        <v>10</v>
      </c>
      <c r="F11" s="7" t="s">
        <v>59</v>
      </c>
      <c r="G11" s="7" t="str">
        <f t="shared" si="0"/>
        <v>Hiking Boots</v>
      </c>
      <c r="H11" s="8">
        <f t="shared" si="1"/>
        <v>46309</v>
      </c>
      <c r="I11" s="7" t="str">
        <f t="shared" si="2"/>
        <v>UK</v>
      </c>
      <c r="J11" s="10" t="str">
        <f t="shared" si="3"/>
        <v>Timberland Hiking Boots</v>
      </c>
    </row>
    <row r="12" spans="1:16" ht="15.75" customHeight="1" x14ac:dyDescent="0.25">
      <c r="A12" s="9" t="s">
        <v>60</v>
      </c>
      <c r="B12" s="7" t="s">
        <v>61</v>
      </c>
      <c r="C12" s="7" t="s">
        <v>62</v>
      </c>
      <c r="D12" s="24">
        <v>950</v>
      </c>
      <c r="E12" s="7">
        <v>25</v>
      </c>
      <c r="F12" s="7" t="s">
        <v>28</v>
      </c>
      <c r="G12" s="7" t="str">
        <f t="shared" si="0"/>
        <v>Laptop</v>
      </c>
      <c r="H12" s="8">
        <f t="shared" si="1"/>
        <v>46190</v>
      </c>
      <c r="I12" s="7" t="str">
        <f t="shared" si="2"/>
        <v>IN</v>
      </c>
      <c r="J12" s="10" t="str">
        <f t="shared" si="3"/>
        <v>HP Laptop</v>
      </c>
    </row>
    <row r="13" spans="1:16" ht="15.75" customHeight="1" x14ac:dyDescent="0.25">
      <c r="A13" s="9" t="s">
        <v>63</v>
      </c>
      <c r="B13" s="7" t="s">
        <v>30</v>
      </c>
      <c r="C13" s="7" t="s">
        <v>49</v>
      </c>
      <c r="D13" s="24">
        <v>90</v>
      </c>
      <c r="E13" s="7">
        <v>40</v>
      </c>
      <c r="F13" s="7" t="s">
        <v>116</v>
      </c>
      <c r="G13" s="7" t="str">
        <f t="shared" si="0"/>
        <v>Sneakers</v>
      </c>
      <c r="H13" s="8">
        <f t="shared" si="1"/>
        <v>46351</v>
      </c>
      <c r="I13" s="7" t="str">
        <f t="shared" si="2"/>
        <v>AU</v>
      </c>
      <c r="J13" s="10" t="str">
        <f t="shared" si="3"/>
        <v>Adidas Sneakers</v>
      </c>
    </row>
    <row r="14" spans="1:16" ht="15.75" customHeight="1" x14ac:dyDescent="0.25">
      <c r="A14" s="9" t="s">
        <v>64</v>
      </c>
      <c r="B14" s="7" t="s">
        <v>34</v>
      </c>
      <c r="C14" s="7" t="s">
        <v>65</v>
      </c>
      <c r="D14" s="24">
        <v>120</v>
      </c>
      <c r="E14" s="7">
        <v>35</v>
      </c>
      <c r="F14" s="7" t="s">
        <v>116</v>
      </c>
      <c r="G14" s="7" t="str">
        <f t="shared" si="0"/>
        <v>Coffee Maker</v>
      </c>
      <c r="H14" s="8">
        <f t="shared" si="1"/>
        <v>46364</v>
      </c>
      <c r="I14" s="7" t="str">
        <f t="shared" si="2"/>
        <v>DE</v>
      </c>
      <c r="J14" s="10" t="str">
        <f t="shared" si="3"/>
        <v>Nespresso Coffee Maker</v>
      </c>
    </row>
    <row r="15" spans="1:16" ht="15.75" customHeight="1" x14ac:dyDescent="0.25">
      <c r="A15" s="9" t="s">
        <v>66</v>
      </c>
      <c r="B15" s="7" t="s">
        <v>67</v>
      </c>
      <c r="C15" s="7" t="s">
        <v>68</v>
      </c>
      <c r="D15" s="24">
        <v>150</v>
      </c>
      <c r="E15" s="7">
        <v>15</v>
      </c>
      <c r="F15" s="7" t="s">
        <v>46</v>
      </c>
      <c r="G15" s="7" t="str">
        <f t="shared" si="0"/>
        <v>Smartwatch</v>
      </c>
      <c r="H15" s="8">
        <f t="shared" si="1"/>
        <v>46071</v>
      </c>
      <c r="I15" s="7" t="str">
        <f t="shared" si="2"/>
        <v>CA</v>
      </c>
      <c r="J15" s="10" t="str">
        <f t="shared" si="3"/>
        <v>Fitbit Smartwatch</v>
      </c>
    </row>
    <row r="16" spans="1:16" ht="15.75" customHeight="1" x14ac:dyDescent="0.25">
      <c r="A16" s="9" t="s">
        <v>69</v>
      </c>
      <c r="B16" s="7" t="s">
        <v>70</v>
      </c>
      <c r="C16" s="7" t="s">
        <v>71</v>
      </c>
      <c r="D16" s="24">
        <v>250</v>
      </c>
      <c r="E16" s="7">
        <v>20</v>
      </c>
      <c r="F16" s="7" t="s">
        <v>46</v>
      </c>
      <c r="G16" s="7" t="str">
        <f t="shared" si="0"/>
        <v>Headphones</v>
      </c>
      <c r="H16" s="8">
        <f t="shared" si="1"/>
        <v>46128</v>
      </c>
      <c r="I16" s="7" t="str">
        <f t="shared" si="2"/>
        <v>ES</v>
      </c>
      <c r="J16" s="10" t="str">
        <f t="shared" si="3"/>
        <v>Bose Headphones</v>
      </c>
    </row>
    <row r="17" spans="1:10" ht="15.75" customHeight="1" x14ac:dyDescent="0.25">
      <c r="A17" s="9" t="s">
        <v>72</v>
      </c>
      <c r="B17" s="7" t="s">
        <v>73</v>
      </c>
      <c r="C17" s="7" t="s">
        <v>74</v>
      </c>
      <c r="D17" s="24">
        <v>50</v>
      </c>
      <c r="E17" s="7">
        <v>35</v>
      </c>
      <c r="F17" s="7" t="s">
        <v>75</v>
      </c>
      <c r="G17" s="7" t="str">
        <f t="shared" si="0"/>
        <v>Laptop Bag</v>
      </c>
      <c r="H17" s="8">
        <f t="shared" si="1"/>
        <v>46255</v>
      </c>
      <c r="I17" s="7" t="str">
        <f t="shared" si="2"/>
        <v>CA</v>
      </c>
      <c r="J17" s="10" t="str">
        <f t="shared" si="3"/>
        <v>Samsonite Laptop Bag</v>
      </c>
    </row>
    <row r="18" spans="1:10" ht="15.75" customHeight="1" x14ac:dyDescent="0.25">
      <c r="A18" s="9" t="s">
        <v>76</v>
      </c>
      <c r="B18" s="7" t="s">
        <v>67</v>
      </c>
      <c r="C18" s="7" t="s">
        <v>77</v>
      </c>
      <c r="D18" s="24">
        <v>160</v>
      </c>
      <c r="E18" s="7">
        <v>15</v>
      </c>
      <c r="F18" s="7" t="s">
        <v>46</v>
      </c>
      <c r="G18" s="7" t="str">
        <f t="shared" si="0"/>
        <v>Smartwatch</v>
      </c>
      <c r="H18" s="8">
        <f t="shared" si="1"/>
        <v>46254</v>
      </c>
      <c r="I18" s="7" t="str">
        <f t="shared" si="2"/>
        <v>CN</v>
      </c>
      <c r="J18" s="10" t="str">
        <f t="shared" si="3"/>
        <v>Huawei Smartwatch</v>
      </c>
    </row>
    <row r="19" spans="1:10" ht="15.75" customHeight="1" x14ac:dyDescent="0.25">
      <c r="A19" s="9" t="s">
        <v>78</v>
      </c>
      <c r="B19" s="7" t="s">
        <v>26</v>
      </c>
      <c r="C19" s="7" t="s">
        <v>79</v>
      </c>
      <c r="D19" s="24">
        <v>980</v>
      </c>
      <c r="E19" s="7">
        <v>10</v>
      </c>
      <c r="F19" s="7" t="s">
        <v>28</v>
      </c>
      <c r="G19" s="7" t="str">
        <f t="shared" si="0"/>
        <v>Laptop</v>
      </c>
      <c r="H19" s="8">
        <f t="shared" si="1"/>
        <v>46049</v>
      </c>
      <c r="I19" s="7" t="str">
        <f t="shared" si="2"/>
        <v>IT</v>
      </c>
      <c r="J19" s="10" t="str">
        <f t="shared" si="3"/>
        <v>Asus Laptop</v>
      </c>
    </row>
    <row r="20" spans="1:10" ht="15.75" customHeight="1" x14ac:dyDescent="0.25">
      <c r="A20" s="9" t="s">
        <v>80</v>
      </c>
      <c r="B20" s="7" t="s">
        <v>81</v>
      </c>
      <c r="C20" s="7" t="s">
        <v>82</v>
      </c>
      <c r="D20" s="24">
        <v>150</v>
      </c>
      <c r="E20" s="7">
        <v>15</v>
      </c>
      <c r="F20" s="7" t="s">
        <v>32</v>
      </c>
      <c r="G20" s="7" t="str">
        <f t="shared" si="0"/>
        <v>Sunglasses</v>
      </c>
      <c r="H20" s="8">
        <f t="shared" si="1"/>
        <v>46082</v>
      </c>
      <c r="I20" s="7" t="str">
        <f t="shared" si="2"/>
        <v>UK</v>
      </c>
      <c r="J20" s="10" t="str">
        <f t="shared" si="3"/>
        <v>Oakley Sunglasses</v>
      </c>
    </row>
    <row r="21" spans="1:10" ht="15.75" customHeight="1" x14ac:dyDescent="0.25">
      <c r="A21" s="9" t="s">
        <v>83</v>
      </c>
      <c r="B21" s="7" t="s">
        <v>84</v>
      </c>
      <c r="C21" s="7" t="s">
        <v>85</v>
      </c>
      <c r="D21" s="24" t="s">
        <v>116</v>
      </c>
      <c r="E21" s="7">
        <v>10</v>
      </c>
      <c r="F21" s="7" t="s">
        <v>59</v>
      </c>
      <c r="G21" s="7" t="str">
        <f t="shared" si="0"/>
        <v>Camping Tent</v>
      </c>
      <c r="H21" s="8">
        <f t="shared" si="1"/>
        <v>46248</v>
      </c>
      <c r="I21" s="7" t="str">
        <f t="shared" si="2"/>
        <v>US</v>
      </c>
      <c r="J21" s="10" t="str">
        <f t="shared" si="3"/>
        <v>Coleman Camping Tent</v>
      </c>
    </row>
    <row r="22" spans="1:10" ht="15.75" customHeight="1" x14ac:dyDescent="0.25">
      <c r="A22" s="9" t="s">
        <v>86</v>
      </c>
      <c r="B22" s="7" t="s">
        <v>87</v>
      </c>
      <c r="C22" s="7" t="s">
        <v>88</v>
      </c>
      <c r="D22" s="24" t="s">
        <v>116</v>
      </c>
      <c r="E22" s="7">
        <v>50</v>
      </c>
      <c r="F22" s="7" t="s">
        <v>28</v>
      </c>
      <c r="G22" s="7" t="str">
        <f t="shared" si="0"/>
        <v>Camera</v>
      </c>
      <c r="H22" s="8">
        <f t="shared" si="1"/>
        <v>46156</v>
      </c>
      <c r="I22" s="7" t="str">
        <f t="shared" si="2"/>
        <v>RU</v>
      </c>
      <c r="J22" s="10" t="str">
        <f t="shared" si="3"/>
        <v>Nikon Camera</v>
      </c>
    </row>
    <row r="23" spans="1:10" ht="15.75" customHeight="1" x14ac:dyDescent="0.25">
      <c r="A23" s="9" t="s">
        <v>89</v>
      </c>
      <c r="B23" s="7" t="s">
        <v>90</v>
      </c>
      <c r="C23" s="7" t="s">
        <v>91</v>
      </c>
      <c r="D23" s="24">
        <v>80</v>
      </c>
      <c r="E23" s="7">
        <v>20</v>
      </c>
      <c r="F23" s="7" t="s">
        <v>36</v>
      </c>
      <c r="G23" s="7" t="str">
        <f t="shared" si="0"/>
        <v>Microwave</v>
      </c>
      <c r="H23" s="8">
        <f t="shared" si="1"/>
        <v>46031</v>
      </c>
      <c r="I23" s="7" t="str">
        <f t="shared" si="2"/>
        <v>CA</v>
      </c>
      <c r="J23" s="10" t="str">
        <f t="shared" si="3"/>
        <v>Panasonic Microwave</v>
      </c>
    </row>
    <row r="24" spans="1:10" ht="15.75" customHeight="1" x14ac:dyDescent="0.25">
      <c r="A24" s="9" t="s">
        <v>92</v>
      </c>
      <c r="B24" s="7" t="s">
        <v>93</v>
      </c>
      <c r="C24" s="7" t="s">
        <v>94</v>
      </c>
      <c r="D24" s="24">
        <v>150</v>
      </c>
      <c r="E24" s="7">
        <v>30</v>
      </c>
      <c r="F24" s="7" t="s">
        <v>116</v>
      </c>
      <c r="G24" s="7" t="str">
        <f t="shared" si="0"/>
        <v>Fitness Tracker</v>
      </c>
      <c r="H24" s="8">
        <f t="shared" si="1"/>
        <v>46222</v>
      </c>
      <c r="I24" s="7" t="str">
        <f t="shared" si="2"/>
        <v>BR</v>
      </c>
      <c r="J24" s="10" t="str">
        <f t="shared" si="3"/>
        <v>Xiaomi Fitness Tracker</v>
      </c>
    </row>
    <row r="25" spans="1:10" ht="15.75" customHeight="1" x14ac:dyDescent="0.25">
      <c r="A25" s="9" t="s">
        <v>95</v>
      </c>
      <c r="B25" s="7" t="s">
        <v>96</v>
      </c>
      <c r="C25" s="7" t="s">
        <v>97</v>
      </c>
      <c r="D25" s="24">
        <v>800</v>
      </c>
      <c r="E25" s="7">
        <v>45</v>
      </c>
      <c r="F25" s="7" t="s">
        <v>28</v>
      </c>
      <c r="G25" s="7" t="str">
        <f t="shared" si="0"/>
        <v>Smartphone</v>
      </c>
      <c r="H25" s="8">
        <f t="shared" si="1"/>
        <v>46294</v>
      </c>
      <c r="I25" s="7" t="str">
        <f t="shared" si="2"/>
        <v>CA</v>
      </c>
      <c r="J25" s="10" t="str">
        <f t="shared" si="3"/>
        <v>Google Smartphone</v>
      </c>
    </row>
    <row r="26" spans="1:10" ht="15.75" customHeight="1" x14ac:dyDescent="0.25">
      <c r="A26" s="9" t="s">
        <v>98</v>
      </c>
      <c r="B26" s="7" t="s">
        <v>81</v>
      </c>
      <c r="C26" s="7" t="s">
        <v>99</v>
      </c>
      <c r="D26" s="24" t="s">
        <v>116</v>
      </c>
      <c r="E26" s="7">
        <v>25</v>
      </c>
      <c r="F26" s="7" t="s">
        <v>32</v>
      </c>
      <c r="G26" s="7" t="str">
        <f t="shared" si="0"/>
        <v>Sunglasses</v>
      </c>
      <c r="H26" s="8">
        <f t="shared" si="1"/>
        <v>46176</v>
      </c>
      <c r="I26" s="7" t="str">
        <f t="shared" si="2"/>
        <v>CA</v>
      </c>
      <c r="J26" s="10" t="str">
        <f t="shared" si="3"/>
        <v>Ray-Ban Sunglasses</v>
      </c>
    </row>
    <row r="27" spans="1:10" ht="15.75" customHeight="1" x14ac:dyDescent="0.25">
      <c r="A27" s="9" t="s">
        <v>100</v>
      </c>
      <c r="B27" s="7" t="s">
        <v>51</v>
      </c>
      <c r="C27" s="7" t="s">
        <v>101</v>
      </c>
      <c r="D27" s="24">
        <v>400</v>
      </c>
      <c r="E27" s="7">
        <v>40</v>
      </c>
      <c r="F27" s="7" t="s">
        <v>36</v>
      </c>
      <c r="G27" s="7" t="str">
        <f t="shared" si="0"/>
        <v>Blender</v>
      </c>
      <c r="H27" s="8">
        <f t="shared" si="1"/>
        <v>46214</v>
      </c>
      <c r="I27" s="7" t="str">
        <f t="shared" si="2"/>
        <v>CA</v>
      </c>
      <c r="J27" s="10" t="str">
        <f t="shared" si="3"/>
        <v>Vitamix Blender</v>
      </c>
    </row>
    <row r="28" spans="1:10" ht="15.75" customHeight="1" x14ac:dyDescent="0.25">
      <c r="A28" s="9" t="s">
        <v>102</v>
      </c>
      <c r="B28" s="7" t="s">
        <v>103</v>
      </c>
      <c r="C28" s="7" t="s">
        <v>104</v>
      </c>
      <c r="D28" s="24">
        <v>60</v>
      </c>
      <c r="E28" s="7">
        <v>30</v>
      </c>
      <c r="F28" s="7" t="s">
        <v>32</v>
      </c>
      <c r="G28" s="7" t="str">
        <f t="shared" si="0"/>
        <v>Dress</v>
      </c>
      <c r="H28" s="8">
        <f t="shared" si="1"/>
        <v>46088</v>
      </c>
      <c r="I28" s="7" t="str">
        <f t="shared" si="2"/>
        <v>CA</v>
      </c>
      <c r="J28" s="10" t="str">
        <f t="shared" si="3"/>
        <v>Zara Dress</v>
      </c>
    </row>
    <row r="29" spans="1:10" ht="15.75" customHeight="1" x14ac:dyDescent="0.25">
      <c r="A29" s="9" t="s">
        <v>105</v>
      </c>
      <c r="B29" s="7" t="s">
        <v>106</v>
      </c>
      <c r="C29" s="7" t="s">
        <v>107</v>
      </c>
      <c r="D29" s="24">
        <v>40</v>
      </c>
      <c r="E29" s="7">
        <v>10</v>
      </c>
      <c r="F29" s="7" t="s">
        <v>36</v>
      </c>
      <c r="G29" s="7" t="str">
        <f t="shared" si="0"/>
        <v>Toaster</v>
      </c>
      <c r="H29" s="8">
        <f t="shared" si="1"/>
        <v>46125</v>
      </c>
      <c r="I29" s="7" t="str">
        <f t="shared" si="2"/>
        <v>CA</v>
      </c>
      <c r="J29" s="10" t="str">
        <f t="shared" si="3"/>
        <v>Hamilton Toaster</v>
      </c>
    </row>
    <row r="30" spans="1:10" ht="15.75" customHeight="1" x14ac:dyDescent="0.25">
      <c r="A30" s="9" t="s">
        <v>108</v>
      </c>
      <c r="B30" s="7" t="s">
        <v>93</v>
      </c>
      <c r="C30" s="7" t="s">
        <v>109</v>
      </c>
      <c r="D30" s="24">
        <v>130</v>
      </c>
      <c r="E30" s="7">
        <v>5</v>
      </c>
      <c r="F30" s="7" t="s">
        <v>28</v>
      </c>
      <c r="G30" s="7" t="str">
        <f t="shared" si="0"/>
        <v>Fitness Tracker</v>
      </c>
      <c r="H30" s="8">
        <f t="shared" si="1"/>
        <v>46166</v>
      </c>
      <c r="I30" s="7" t="str">
        <f t="shared" si="2"/>
        <v>CA</v>
      </c>
      <c r="J30" s="10" t="str">
        <f t="shared" si="3"/>
        <v>Garmin Fitness Tracker</v>
      </c>
    </row>
    <row r="31" spans="1:10" ht="15.75" customHeight="1" x14ac:dyDescent="0.25">
      <c r="A31" s="9" t="s">
        <v>110</v>
      </c>
      <c r="B31" s="7" t="s">
        <v>111</v>
      </c>
      <c r="C31" s="7" t="s">
        <v>112</v>
      </c>
      <c r="D31" s="24">
        <v>50</v>
      </c>
      <c r="E31" s="7">
        <v>50</v>
      </c>
      <c r="F31" s="7" t="s">
        <v>32</v>
      </c>
      <c r="G31" s="7" t="str">
        <f t="shared" si="0"/>
        <v>Jeans</v>
      </c>
      <c r="H31" s="8">
        <f t="shared" si="1"/>
        <v>46358</v>
      </c>
      <c r="I31" s="7" t="str">
        <f t="shared" si="2"/>
        <v>CA</v>
      </c>
      <c r="J31" s="10" t="str">
        <f t="shared" si="3"/>
        <v>Levi's Jeans</v>
      </c>
    </row>
    <row r="32" spans="1:10" ht="15.75" customHeight="1" thickBot="1" x14ac:dyDescent="0.3">
      <c r="A32" s="11" t="s">
        <v>113</v>
      </c>
      <c r="B32" s="12" t="s">
        <v>114</v>
      </c>
      <c r="C32" s="12" t="s">
        <v>115</v>
      </c>
      <c r="D32" s="25">
        <v>100</v>
      </c>
      <c r="E32" s="12">
        <v>20</v>
      </c>
      <c r="F32" s="12" t="s">
        <v>75</v>
      </c>
      <c r="G32" s="12" t="str">
        <f t="shared" si="0"/>
        <v>Watch</v>
      </c>
      <c r="H32" s="13">
        <f t="shared" si="1"/>
        <v>46212</v>
      </c>
      <c r="I32" s="12" t="str">
        <f t="shared" si="2"/>
        <v>FR</v>
      </c>
      <c r="J32" s="14" t="str">
        <f t="shared" si="3"/>
        <v>Casio Watch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{A8396EEE-7545-48A5-A099-267841C4D52D}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396EEE-7545-48A5-A099-267841C4D52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UNNIKRISHNAN N R</cp:lastModifiedBy>
  <dcterms:modified xsi:type="dcterms:W3CDTF">2026-09-23T07:13:11Z</dcterms:modified>
</cp:coreProperties>
</file>